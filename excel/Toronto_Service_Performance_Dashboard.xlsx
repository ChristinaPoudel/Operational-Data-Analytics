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oronto-Field-Operations-Service-Performance-Tracker\excel\"/>
    </mc:Choice>
  </mc:AlternateContent>
  <xr:revisionPtr revIDLastSave="0" documentId="13_ncr:1_{5A7D445A-445E-4A49-A07A-408E2A544C58}" xr6:coauthVersionLast="47" xr6:coauthVersionMax="47" xr10:uidLastSave="{00000000-0000-0000-0000-000000000000}"/>
  <bookViews>
    <workbookView xWindow="11424" yWindow="0" windowWidth="11712" windowHeight="13776" activeTab="5" xr2:uid="{7108E298-88BA-49A9-98C9-367A08F2A80A}"/>
  </bookViews>
  <sheets>
    <sheet name="February Data" sheetId="6" r:id="rId1"/>
    <sheet name="Top Types Data" sheetId="5" r:id="rId2"/>
    <sheet name="Status Data" sheetId="4" r:id="rId3"/>
    <sheet name="Monthly Data" sheetId="2" r:id="rId4"/>
    <sheet name="Division Data" sheetId="3" r:id="rId5"/>
    <sheet name="Dashboard" sheetId="1" r:id="rId6"/>
  </sheets>
  <definedNames>
    <definedName name="ExternalData_1" localSheetId="3" hidden="1">'Monthly Data'!$A$1:$B$13</definedName>
    <definedName name="ExternalData_2" localSheetId="4" hidden="1">'Division Data'!$A$1:$B$8</definedName>
    <definedName name="ExternalData_2" localSheetId="2" hidden="1">'Status Data'!$A$1:$B$7</definedName>
    <definedName name="ExternalData_3" localSheetId="1" hidden="1">'Top Types Data'!$A$1:$B$16</definedName>
    <definedName name="ExternalData_4" localSheetId="0" hidden="1">'February Data'!$A$1:$B$11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5B3731-BB7C-4170-99CC-1D4C2043B538}" keepAlive="1" name="Query - division_requests" description="Connection to the 'division_requests' query in the workbook." type="5" refreshedVersion="8" background="1" saveData="1">
    <dbPr connection="Provider=Microsoft.Mashup.OleDb.1;Data Source=$Workbook$;Location=division_requests;Extended Properties=&quot;&quot;" command="SELECT * FROM [division_requests]"/>
  </connection>
  <connection id="2" xr16:uid="{D59227C1-82EF-4977-A6CB-B22CEB3AA9A9}" keepAlive="1" name="Query - february_top_requests" description="Connection to the 'february_top_requests' query in the workbook." type="5" refreshedVersion="8" background="1" saveData="1">
    <dbPr connection="Provider=Microsoft.Mashup.OleDb.1;Data Source=$Workbook$;Location=february_top_requests;Extended Properties=&quot;&quot;" command="SELECT * FROM [february_top_requests]"/>
  </connection>
  <connection id="3" xr16:uid="{F24E1BDA-5E62-44F8-8DA5-2AF3E9D24CCD}" keepAlive="1" name="Query - monthly_requests" description="Connection to the 'monthly_requests' query in the workbook." type="5" refreshedVersion="8" background="1" saveData="1">
    <dbPr connection="Provider=Microsoft.Mashup.OleDb.1;Data Source=$Workbook$;Location=monthly_requests;Extended Properties=&quot;&quot;" command="SELECT * FROM [monthly_requests]"/>
  </connection>
  <connection id="4" xr16:uid="{9DA5EA20-0BF8-4D5F-9086-160FACE0736A}" keepAlive="1" name="Query - status_requests" description="Connection to the 'status_requests' query in the workbook." type="5" refreshedVersion="8" background="1" saveData="1">
    <dbPr connection="Provider=Microsoft.Mashup.OleDb.1;Data Source=$Workbook$;Location=status_requests;Extended Properties=&quot;&quot;" command="SELECT * FROM [status_requests]"/>
  </connection>
  <connection id="5" xr16:uid="{4AAD396A-04E2-466C-AD4E-36D3AA8DF42E}" keepAlive="1" name="Query - top_request_types" description="Connection to the 'top_request_types' query in the workbook." type="5" refreshedVersion="8" background="1" saveData="1">
    <dbPr connection="Provider=Microsoft.Mashup.OleDb.1;Data Source=$Workbook$;Location=top_request_types;Extended Properties=&quot;&quot;" command="SELECT * FROM [top_request_types]"/>
  </connection>
</connections>
</file>

<file path=xl/sharedStrings.xml><?xml version="1.0" encoding="utf-8"?>
<sst xmlns="http://schemas.openxmlformats.org/spreadsheetml/2006/main" count="58" uniqueCount="49">
  <si>
    <t>request_month</t>
  </si>
  <si>
    <t>total_requests</t>
  </si>
  <si>
    <t>division</t>
  </si>
  <si>
    <t>Solid Waste Management Services</t>
  </si>
  <si>
    <t>Transportation Services</t>
  </si>
  <si>
    <t>Municipal Licensing &amp; Standards</t>
  </si>
  <si>
    <t>Toronto Water</t>
  </si>
  <si>
    <t>Environment, Climate &amp; Forestry</t>
  </si>
  <si>
    <t>311</t>
  </si>
  <si>
    <t>Parks and Recreation</t>
  </si>
  <si>
    <t>status</t>
  </si>
  <si>
    <t>Completed</t>
  </si>
  <si>
    <t>Cancelled</t>
  </si>
  <si>
    <t>In Progress</t>
  </si>
  <si>
    <t>New</t>
  </si>
  <si>
    <t>Closed</t>
  </si>
  <si>
    <t>Unknown</t>
  </si>
  <si>
    <t>service_request_type</t>
  </si>
  <si>
    <t>Residential Bin Lid Damaged</t>
  </si>
  <si>
    <t>Property Standards and Maintenance Violations</t>
  </si>
  <si>
    <t>Pick up Dead Wildlife</t>
  </si>
  <si>
    <t>Injured - Wildlife</t>
  </si>
  <si>
    <t>General Pruning</t>
  </si>
  <si>
    <t>Road Pothole / Road Damage</t>
  </si>
  <si>
    <t>Residential Bin Body or Handle Damaged</t>
  </si>
  <si>
    <t>Sidewalk Snow Clearing Required</t>
  </si>
  <si>
    <t>Res / Garbage / Not Picked Up</t>
  </si>
  <si>
    <t>Residential Furniture / Not Picked Up</t>
  </si>
  <si>
    <t>Res / Recycle / Not Picked Up</t>
  </si>
  <si>
    <t>Tree Emergency Clean-Up</t>
  </si>
  <si>
    <t>Res / Organic Green Bin / Not Picked Up</t>
  </si>
  <si>
    <t>Clean up Illegal Dumping on City Road Allowance</t>
  </si>
  <si>
    <t>Sewer Service Line-Blocked</t>
  </si>
  <si>
    <t>Road Plowing Request</t>
  </si>
  <si>
    <t>Driveway Blocked By Plowed Snowbank</t>
  </si>
  <si>
    <t>Publication Request - Solid Waste</t>
  </si>
  <si>
    <t>Snow at Intersections - Impeded Mobility</t>
  </si>
  <si>
    <t>Icy Sidewalk Needs Salting</t>
  </si>
  <si>
    <t>Illegal Snow Dumping &amp; Failure to Clear Snow or Ice on Public Sidewalk</t>
  </si>
  <si>
    <t>TORONTO FIELD OPERATIONS &amp; SERVICE PERFORMANCE TRACKER</t>
  </si>
  <si>
    <t>TOTAL SERVICE REQUESTS</t>
  </si>
  <si>
    <t>KEY BUSINESS INSIGHTS — 2025</t>
  </si>
  <si>
    <t>Total of 500,269 service request records were analyzed for 2025</t>
  </si>
  <si>
    <t>Solid Waste Management Services had the highest request volume, with 170,443 requests</t>
  </si>
  <si>
    <t>February recorded the highest monthly volume, with 53,707 requests</t>
  </si>
  <si>
    <t>Completed was the most common status, with 392,653 records</t>
  </si>
  <si>
    <t>Data Source: City of Toronto — 311 Service Requests, 2025.</t>
  </si>
  <si>
    <t>Analysis includes 500,269 service request records.</t>
  </si>
  <si>
    <t>Note: The dataset does not contain a closure date, so individual request resolution times were not calculated.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</si>
</sst>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rial Unicode MS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wrapText="1"/>
    </xf>
    <xf numFmtId="0" fontId="1" fillId="0" borderId="0" xfId="0" applyFont="1" applyAlignment="1"/>
    <xf numFmtId="0" fontId="4" fillId="0" borderId="0" xfId="0" applyFont="1" applyAlignment="1">
      <alignment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Monthly Service Requests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Data'!$B$1</c:f>
              <c:strCache>
                <c:ptCount val="1"/>
                <c:pt idx="0">
                  <c:v>total_requests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'Monthly Data'!$A$2:$A$13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'Monthly Data'!$B$2:$B$13</c:f>
              <c:numCache>
                <c:formatCode>General</c:formatCode>
                <c:ptCount val="12"/>
                <c:pt idx="0">
                  <c:v>32793</c:v>
                </c:pt>
                <c:pt idx="1">
                  <c:v>53707</c:v>
                </c:pt>
                <c:pt idx="2">
                  <c:v>37317</c:v>
                </c:pt>
                <c:pt idx="3">
                  <c:v>38111</c:v>
                </c:pt>
                <c:pt idx="4">
                  <c:v>44571</c:v>
                </c:pt>
                <c:pt idx="5">
                  <c:v>46971</c:v>
                </c:pt>
                <c:pt idx="6">
                  <c:v>48120</c:v>
                </c:pt>
                <c:pt idx="7">
                  <c:v>43555</c:v>
                </c:pt>
                <c:pt idx="8">
                  <c:v>44851</c:v>
                </c:pt>
                <c:pt idx="9">
                  <c:v>37840</c:v>
                </c:pt>
                <c:pt idx="10">
                  <c:v>33525</c:v>
                </c:pt>
                <c:pt idx="11">
                  <c:v>38908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A-4394-B98E-507597D09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109375"/>
        <c:axId val="748642511"/>
      </c:barChart>
      <c:dateAx>
        <c:axId val="1596109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42511"/>
        <c:crosses val="autoZero"/>
        <c:auto val="1"/>
        <c:lblOffset val="100"/>
        <c:baseTimeUnit val="months"/>
      </c:dateAx>
      <c:valAx>
        <c:axId val="74864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0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Top 10 Service Requests — February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'February Data'!$B$1</c:f>
              <c:strCache>
                <c:ptCount val="1"/>
                <c:pt idx="0">
                  <c:v>total_requests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'February Data'!$A$2:$A$11</c:f>
              <c:strCache>
                <c:ptCount val="10"/>
                <c:pt idx="0">
                  <c:v>Sidewalk Snow Clearing Required</c:v>
                </c:pt>
                <c:pt idx="1">
                  <c:v>Road Plowing Request</c:v>
                </c:pt>
                <c:pt idx="2">
                  <c:v>Driveway Blocked By Plowed Snowbank</c:v>
                </c:pt>
                <c:pt idx="3">
                  <c:v>Publication Request - Solid Waste</c:v>
                </c:pt>
                <c:pt idx="4">
                  <c:v>Snow at Intersections - Impeded Mobility</c:v>
                </c:pt>
                <c:pt idx="5">
                  <c:v>Residential Bin Lid Damaged</c:v>
                </c:pt>
                <c:pt idx="6">
                  <c:v>Road Pothole / Road Damage</c:v>
                </c:pt>
                <c:pt idx="7">
                  <c:v>Property Standards and Maintenance Violations</c:v>
                </c:pt>
                <c:pt idx="8">
                  <c:v>Icy Sidewalk Needs Salting</c:v>
                </c:pt>
                <c:pt idx="9">
                  <c:v>Illegal Snow Dumping &amp; Failure to Clear Snow or Ice on Public Sidewalk</c:v>
                </c:pt>
              </c:strCache>
            </c:strRef>
          </c:cat>
          <c:val>
            <c:numRef>
              <c:f>'February Data'!$B$2:$B$11</c:f>
              <c:numCache>
                <c:formatCode>General</c:formatCode>
                <c:ptCount val="10"/>
                <c:pt idx="0">
                  <c:v>8722</c:v>
                </c:pt>
                <c:pt idx="1">
                  <c:v>4987</c:v>
                </c:pt>
                <c:pt idx="2">
                  <c:v>3811</c:v>
                </c:pt>
                <c:pt idx="3">
                  <c:v>1405</c:v>
                </c:pt>
                <c:pt idx="4">
                  <c:v>1248</c:v>
                </c:pt>
                <c:pt idx="5">
                  <c:v>1233</c:v>
                </c:pt>
                <c:pt idx="6">
                  <c:v>1154</c:v>
                </c:pt>
                <c:pt idx="7">
                  <c:v>1112</c:v>
                </c:pt>
                <c:pt idx="8">
                  <c:v>1108</c:v>
                </c:pt>
                <c:pt idx="9">
                  <c:v>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F-4469-AC47-4A039FA3D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02575"/>
        <c:axId val="748551791"/>
      </c:barChart>
      <c:catAx>
        <c:axId val="1391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51791"/>
        <c:crosses val="autoZero"/>
        <c:auto val="1"/>
        <c:lblAlgn val="ctr"/>
        <c:lblOffset val="100"/>
        <c:noMultiLvlLbl val="0"/>
      </c:catAx>
      <c:valAx>
        <c:axId val="7485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Service Requests by Division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'Division Data'!$B$1</c:f>
              <c:strCache>
                <c:ptCount val="1"/>
                <c:pt idx="0">
                  <c:v>total_requests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'Division Data'!$A$2:$A$8</c:f>
              <c:strCache>
                <c:ptCount val="7"/>
                <c:pt idx="0">
                  <c:v>Solid Waste Management Services</c:v>
                </c:pt>
                <c:pt idx="1">
                  <c:v>Transportation Services</c:v>
                </c:pt>
                <c:pt idx="2">
                  <c:v>Municipal Licensing &amp; Standards</c:v>
                </c:pt>
                <c:pt idx="3">
                  <c:v>Toronto Water</c:v>
                </c:pt>
                <c:pt idx="4">
                  <c:v>Environment, Climate &amp; Forestry</c:v>
                </c:pt>
                <c:pt idx="5">
                  <c:v>311</c:v>
                </c:pt>
                <c:pt idx="6">
                  <c:v>Parks and Recreation</c:v>
                </c:pt>
              </c:strCache>
            </c:strRef>
          </c:cat>
          <c:val>
            <c:numRef>
              <c:f>'Division Data'!$B$2:$B$8</c:f>
              <c:numCache>
                <c:formatCode>General</c:formatCode>
                <c:ptCount val="7"/>
                <c:pt idx="0">
                  <c:v>170443</c:v>
                </c:pt>
                <c:pt idx="1">
                  <c:v>130056</c:v>
                </c:pt>
                <c:pt idx="2">
                  <c:v>117630</c:v>
                </c:pt>
                <c:pt idx="3">
                  <c:v>36839</c:v>
                </c:pt>
                <c:pt idx="4">
                  <c:v>36174</c:v>
                </c:pt>
                <c:pt idx="5">
                  <c:v>7690</c:v>
                </c:pt>
                <c:pt idx="6">
                  <c:v>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D-4873-8469-04526DAD8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112623"/>
        <c:axId val="748644431"/>
      </c:barChart>
      <c:catAx>
        <c:axId val="159611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44431"/>
        <c:crosses val="autoZero"/>
        <c:auto val="1"/>
        <c:lblAlgn val="ctr"/>
        <c:lblOffset val="100"/>
        <c:noMultiLvlLbl val="0"/>
      </c:catAx>
      <c:valAx>
        <c:axId val="74864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1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Service Requests by Status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Data'!$B$1</c:f>
              <c:strCache>
                <c:ptCount val="1"/>
                <c:pt idx="0">
                  <c:v>total_requests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Data'!$A$2:$A$7</c:f>
              <c:strCache>
                <c:ptCount val="6"/>
                <c:pt idx="0">
                  <c:v>Completed</c:v>
                </c:pt>
                <c:pt idx="1">
                  <c:v>Cancelled</c:v>
                </c:pt>
                <c:pt idx="2">
                  <c:v>In Progress</c:v>
                </c:pt>
                <c:pt idx="3">
                  <c:v>New</c:v>
                </c:pt>
                <c:pt idx="4">
                  <c:v>Closed</c:v>
                </c:pt>
                <c:pt idx="5">
                  <c:v>Unknown</c:v>
                </c:pt>
              </c:strCache>
            </c:strRef>
          </c:cat>
          <c:val>
            <c:numRef>
              <c:f>'Status Data'!$B$2:$B$7</c:f>
              <c:numCache>
                <c:formatCode>General</c:formatCode>
                <c:ptCount val="6"/>
                <c:pt idx="0">
                  <c:v>392653</c:v>
                </c:pt>
                <c:pt idx="1">
                  <c:v>51669</c:v>
                </c:pt>
                <c:pt idx="2">
                  <c:v>22047</c:v>
                </c:pt>
                <c:pt idx="3">
                  <c:v>16816</c:v>
                </c:pt>
                <c:pt idx="4">
                  <c:v>10167</c:v>
                </c:pt>
                <c:pt idx="5">
                  <c:v>6917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1-40AD-8947-54A002B67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602911"/>
        <c:axId val="748618991"/>
      </c:barChart>
      <c:catAx>
        <c:axId val="111560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18991"/>
        <c:crosses val="autoZero"/>
        <c:auto val="1"/>
        <c:lblAlgn val="ctr"/>
        <c:lblOffset val="100"/>
        <c:noMultiLvlLbl val="0"/>
      </c:catAx>
      <c:valAx>
        <c:axId val="7486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0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Top 15 Service Request Types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Types Data'!$B$1</c:f>
              <c:strCache>
                <c:ptCount val="1"/>
                <c:pt idx="0">
                  <c:v>total_requests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Types Data'!$A$2:$A$16</c:f>
              <c:strCache>
                <c:ptCount val="15"/>
                <c:pt idx="0">
                  <c:v>Residential Bin Lid Damaged</c:v>
                </c:pt>
                <c:pt idx="1">
                  <c:v>Property Standards and Maintenance Violations</c:v>
                </c:pt>
                <c:pt idx="2">
                  <c:v>Pick up Dead Wildlife</c:v>
                </c:pt>
                <c:pt idx="3">
                  <c:v>Injured - Wildlife</c:v>
                </c:pt>
                <c:pt idx="4">
                  <c:v>General Pruning</c:v>
                </c:pt>
                <c:pt idx="5">
                  <c:v>Road Pothole / Road Damage</c:v>
                </c:pt>
                <c:pt idx="6">
                  <c:v>Residential Bin Body or Handle Damaged</c:v>
                </c:pt>
                <c:pt idx="7">
                  <c:v>Sidewalk Snow Clearing Required</c:v>
                </c:pt>
                <c:pt idx="8">
                  <c:v>Res / Garbage / Not Picked Up</c:v>
                </c:pt>
                <c:pt idx="9">
                  <c:v>Residential Furniture / Not Picked Up</c:v>
                </c:pt>
                <c:pt idx="10">
                  <c:v>Res / Recycle / Not Picked Up</c:v>
                </c:pt>
                <c:pt idx="11">
                  <c:v>Tree Emergency Clean-Up</c:v>
                </c:pt>
                <c:pt idx="12">
                  <c:v>Res / Organic Green Bin / Not Picked Up</c:v>
                </c:pt>
                <c:pt idx="13">
                  <c:v>Clean up Illegal Dumping on City Road Allowance</c:v>
                </c:pt>
                <c:pt idx="14">
                  <c:v>Sewer Service Line-Blocked</c:v>
                </c:pt>
              </c:strCache>
            </c:strRef>
          </c:cat>
          <c:val>
            <c:numRef>
              <c:f>'Top Types Data'!$B$2:$B$16</c:f>
              <c:numCache>
                <c:formatCode>General</c:formatCode>
                <c:ptCount val="15"/>
                <c:pt idx="0">
                  <c:v>24448</c:v>
                </c:pt>
                <c:pt idx="1">
                  <c:v>17079</c:v>
                </c:pt>
                <c:pt idx="2">
                  <c:v>15513</c:v>
                </c:pt>
                <c:pt idx="3">
                  <c:v>15192</c:v>
                </c:pt>
                <c:pt idx="4">
                  <c:v>12873</c:v>
                </c:pt>
                <c:pt idx="5">
                  <c:v>11304</c:v>
                </c:pt>
                <c:pt idx="6">
                  <c:v>11238</c:v>
                </c:pt>
                <c:pt idx="7">
                  <c:v>10241</c:v>
                </c:pt>
                <c:pt idx="8">
                  <c:v>9159</c:v>
                </c:pt>
                <c:pt idx="9">
                  <c:v>8634</c:v>
                </c:pt>
                <c:pt idx="10">
                  <c:v>8370</c:v>
                </c:pt>
                <c:pt idx="11">
                  <c:v>8227</c:v>
                </c:pt>
                <c:pt idx="12">
                  <c:v>8008</c:v>
                </c:pt>
                <c:pt idx="13">
                  <c:v>6970</c:v>
                </c:pt>
                <c:pt idx="14">
                  <c:v>6712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2-4848-85F5-2EEE6085E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32607"/>
        <c:axId val="748620431"/>
      </c:barChart>
      <c:catAx>
        <c:axId val="14153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20431"/>
        <c:crosses val="autoZero"/>
        <c:auto val="1"/>
        <c:lblAlgn val="ctr"/>
        <c:lblOffset val="100"/>
        <c:noMultiLvlLbl val="0"/>
      </c:catAx>
      <c:valAx>
        <c:axId val="74862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3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4572000</xdr:colOff>
      <xdr:row>21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65A585B-2D12-463B-A3AF-127FC0D04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4808220</xdr:colOff>
      <xdr:row>38</xdr:row>
      <xdr:rowOff>0</xdr:rowOff>
    </xdr:from>
    <xdr:to>
      <xdr:col>3</xdr:col>
      <xdr:colOff>350520</xdr:colOff>
      <xdr:row>53</xdr:row>
      <xdr:rowOff>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F9E4F246-B8FC-43B0-9046-7D46292F6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4770120</xdr:colOff>
      <xdr:row>6</xdr:row>
      <xdr:rowOff>0</xdr:rowOff>
    </xdr:from>
    <xdr:to>
      <xdr:col>3</xdr:col>
      <xdr:colOff>312420</xdr:colOff>
      <xdr:row>21</xdr:row>
      <xdr:rowOff>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D1EECE50-E2B2-48A4-A5A8-6F58E4935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2156460</xdr:colOff>
      <xdr:row>22</xdr:row>
      <xdr:rowOff>0</xdr:rowOff>
    </xdr:from>
    <xdr:to>
      <xdr:col>0</xdr:col>
      <xdr:colOff>6728460</xdr:colOff>
      <xdr:row>37</xdr:row>
      <xdr:rowOff>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91CEEE5F-B034-4D18-99C9-562D346AE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0</xdr:col>
      <xdr:colOff>4572000</xdr:colOff>
      <xdr:row>53</xdr:row>
      <xdr:rowOff>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FEEE5551-2D98-42CD-A678-0D02DD4D6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5B7C2800-05C7-42C9-BD73-2AD4A5228D81}" autoFormatId="16" applyNumberFormats="0" applyBorderFormats="0" applyFontFormats="0" applyPatternFormats="0" applyAlignmentFormats="0" applyWidthHeightFormats="0">
  <queryTableRefresh nextId="3">
    <queryTableFields count="2">
      <queryTableField id="1" name="service_request_type" tableColumnId="1"/>
      <queryTableField id="2" name="total_request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E0E2F61-86B8-4D22-9236-4DD9E82F1E8D}" autoFormatId="16" applyNumberFormats="0" applyBorderFormats="0" applyFontFormats="0" applyPatternFormats="0" applyAlignmentFormats="0" applyWidthHeightFormats="0">
  <queryTableRefresh nextId="3">
    <queryTableFields count="2">
      <queryTableField id="1" name="service_request_type" tableColumnId="1"/>
      <queryTableField id="2" name="total_request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3D844F0-D9B2-4C30-8DF9-FA76413CE82B}" autoFormatId="16" applyNumberFormats="0" applyBorderFormats="0" applyFontFormats="0" applyPatternFormats="0" applyAlignmentFormats="0" applyWidthHeightFormats="0">
  <queryTableRefresh nextId="3">
    <queryTableFields count="2">
      <queryTableField id="1" name="status" tableColumnId="1"/>
      <queryTableField id="2" name="total_request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192DD3C-440F-42E9-BC74-157FA7F57403}" autoFormatId="16" applyNumberFormats="0" applyBorderFormats="0" applyFontFormats="0" applyPatternFormats="0" applyAlignmentFormats="0" applyWidthHeightFormats="0">
  <queryTableRefresh nextId="3">
    <queryTableFields count="2">
      <queryTableField id="1" name="request_month" tableColumnId="1"/>
      <queryTableField id="2" name="total_request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78D2968-44A5-4F3E-8542-010FF3C09DE9}" autoFormatId="16" applyNumberFormats="0" applyBorderFormats="0" applyFontFormats="0" applyPatternFormats="0" applyAlignmentFormats="0" applyWidthHeightFormats="0">
  <queryTableRefresh nextId="3">
    <queryTableFields count="2">
      <queryTableField id="1" name="division" tableColumnId="1"/>
      <queryTableField id="2" name="total_request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8DFDD1-294E-43BC-8600-246E2B46BDFE}" name="february_top_requests" displayName="february_top_requests" ref="A1:B11" tableType="queryTable" totalsRowShown="0">
  <autoFilter ref="A1:B11" xr:uid="{9D8DFDD1-294E-43BC-8600-246E2B46BDFE}"/>
  <tableColumns count="2">
    <tableColumn id="1" xr3:uid="{C853A100-203C-42A9-9128-ED00DF3BEEB9}" uniqueName="1" name="service_request_type" queryTableFieldId="1" dataDxfId="0"/>
    <tableColumn id="2" xr3:uid="{B0DA31AD-79BD-47C9-B5AF-CA60E35F1AEC}" uniqueName="2" name="total_request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E1252C-65DB-4455-AC49-BEC40C9FC7AE}" name="top_request_types" displayName="top_request_types" ref="A1:B16" tableType="queryTable" totalsRowShown="0">
  <autoFilter ref="A1:B16" xr:uid="{54E1252C-65DB-4455-AC49-BEC40C9FC7AE}"/>
  <tableColumns count="2">
    <tableColumn id="1" xr3:uid="{775B15DD-596F-41B2-92B2-41B4B197A2F6}" uniqueName="1" name="service_request_type" queryTableFieldId="1" dataDxfId="1"/>
    <tableColumn id="2" xr3:uid="{6A1B26E7-6364-44CE-BF30-82B0C22015E3}" uniqueName="2" name="total_request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9183B1-0546-49FA-B228-6973664CECC8}" name="status_requests" displayName="status_requests" ref="A1:B7" tableType="queryTable" totalsRowShown="0">
  <autoFilter ref="A1:B7" xr:uid="{E89183B1-0546-49FA-B228-6973664CECC8}"/>
  <tableColumns count="2">
    <tableColumn id="1" xr3:uid="{E1F073B7-7998-40CB-86E3-AF6121DFA805}" uniqueName="1" name="status" queryTableFieldId="1" dataDxfId="2"/>
    <tableColumn id="2" xr3:uid="{3C692410-B3D7-4065-B366-F60D017BFF49}" uniqueName="2" name="total_request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16252-380B-4618-A07A-E488D205025A}" name="monthly_requests" displayName="monthly_requests" ref="A1:B13" tableType="queryTable" totalsRowShown="0">
  <autoFilter ref="A1:B13" xr:uid="{01216252-380B-4618-A07A-E488D205025A}"/>
  <tableColumns count="2">
    <tableColumn id="1" xr3:uid="{6B5FA959-4251-47DA-B68D-58A7D288C41A}" uniqueName="1" name="request_month" queryTableFieldId="1" dataDxfId="4"/>
    <tableColumn id="2" xr3:uid="{6C8C4512-48E3-42B1-9207-52535805498F}" uniqueName="2" name="total_request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A6DC8A-BBDC-4F0D-A3F7-6EC4AE97C997}" name="division_requests" displayName="division_requests" ref="A1:B8" tableType="queryTable" totalsRowShown="0">
  <autoFilter ref="A1:B8" xr:uid="{26A6DC8A-BBDC-4F0D-A3F7-6EC4AE97C997}"/>
  <tableColumns count="2">
    <tableColumn id="1" xr3:uid="{B261503C-153F-48C6-82F2-FAF7A82ADF0F}" uniqueName="1" name="division" queryTableFieldId="1" dataDxfId="3"/>
    <tableColumn id="2" xr3:uid="{F568ECE7-4F43-48E2-8FA2-5DD77F76FA34}" uniqueName="2" name="total_request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062F-36BF-4447-879C-A507AFE65985}">
  <dimension ref="A1:B11"/>
  <sheetViews>
    <sheetView workbookViewId="0">
      <selection sqref="A1:B11"/>
    </sheetView>
  </sheetViews>
  <sheetFormatPr defaultRowHeight="14.4"/>
  <cols>
    <col min="1" max="1" width="36.5546875" bestFit="1" customWidth="1"/>
    <col min="2" max="2" width="15.109375" bestFit="1" customWidth="1"/>
  </cols>
  <sheetData>
    <row r="1" spans="1:2">
      <c r="A1" t="s">
        <v>17</v>
      </c>
      <c r="B1" t="s">
        <v>1</v>
      </c>
    </row>
    <row r="2" spans="1:2">
      <c r="A2" s="2" t="s">
        <v>25</v>
      </c>
      <c r="B2">
        <v>8722</v>
      </c>
    </row>
    <row r="3" spans="1:2">
      <c r="A3" s="2" t="s">
        <v>33</v>
      </c>
      <c r="B3">
        <v>4987</v>
      </c>
    </row>
    <row r="4" spans="1:2">
      <c r="A4" s="2" t="s">
        <v>34</v>
      </c>
      <c r="B4">
        <v>3811</v>
      </c>
    </row>
    <row r="5" spans="1:2">
      <c r="A5" s="2" t="s">
        <v>35</v>
      </c>
      <c r="B5">
        <v>1405</v>
      </c>
    </row>
    <row r="6" spans="1:2">
      <c r="A6" s="2" t="s">
        <v>36</v>
      </c>
      <c r="B6">
        <v>1248</v>
      </c>
    </row>
    <row r="7" spans="1:2">
      <c r="A7" s="2" t="s">
        <v>18</v>
      </c>
      <c r="B7">
        <v>1233</v>
      </c>
    </row>
    <row r="8" spans="1:2">
      <c r="A8" s="2" t="s">
        <v>23</v>
      </c>
      <c r="B8">
        <v>1154</v>
      </c>
    </row>
    <row r="9" spans="1:2">
      <c r="A9" s="2" t="s">
        <v>19</v>
      </c>
      <c r="B9">
        <v>1112</v>
      </c>
    </row>
    <row r="10" spans="1:2">
      <c r="A10" s="2" t="s">
        <v>37</v>
      </c>
      <c r="B10">
        <v>1108</v>
      </c>
    </row>
    <row r="11" spans="1:2">
      <c r="A11" s="2" t="s">
        <v>38</v>
      </c>
      <c r="B11">
        <v>1098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2063-6441-4A74-B84B-E7A18C69DB5C}">
  <dimension ref="A1:B16"/>
  <sheetViews>
    <sheetView workbookViewId="0">
      <selection sqref="A1:B16"/>
    </sheetView>
  </sheetViews>
  <sheetFormatPr defaultRowHeight="14.4"/>
  <cols>
    <col min="1" max="1" width="36.5546875" bestFit="1" customWidth="1"/>
    <col min="2" max="2" width="15.109375" bestFit="1" customWidth="1"/>
  </cols>
  <sheetData>
    <row r="1" spans="1:2">
      <c r="A1" t="s">
        <v>17</v>
      </c>
      <c r="B1" t="s">
        <v>1</v>
      </c>
    </row>
    <row r="2" spans="1:2">
      <c r="A2" s="2" t="s">
        <v>18</v>
      </c>
      <c r="B2">
        <v>24448</v>
      </c>
    </row>
    <row r="3" spans="1:2">
      <c r="A3" s="2" t="s">
        <v>19</v>
      </c>
      <c r="B3">
        <v>17079</v>
      </c>
    </row>
    <row r="4" spans="1:2">
      <c r="A4" s="2" t="s">
        <v>20</v>
      </c>
      <c r="B4">
        <v>15513</v>
      </c>
    </row>
    <row r="5" spans="1:2">
      <c r="A5" s="2" t="s">
        <v>21</v>
      </c>
      <c r="B5">
        <v>15192</v>
      </c>
    </row>
    <row r="6" spans="1:2">
      <c r="A6" s="2" t="s">
        <v>22</v>
      </c>
      <c r="B6">
        <v>12873</v>
      </c>
    </row>
    <row r="7" spans="1:2">
      <c r="A7" s="2" t="s">
        <v>23</v>
      </c>
      <c r="B7">
        <v>11304</v>
      </c>
    </row>
    <row r="8" spans="1:2">
      <c r="A8" s="2" t="s">
        <v>24</v>
      </c>
      <c r="B8">
        <v>11238</v>
      </c>
    </row>
    <row r="9" spans="1:2">
      <c r="A9" s="2" t="s">
        <v>25</v>
      </c>
      <c r="B9">
        <v>10241</v>
      </c>
    </row>
    <row r="10" spans="1:2">
      <c r="A10" s="2" t="s">
        <v>26</v>
      </c>
      <c r="B10">
        <v>9159</v>
      </c>
    </row>
    <row r="11" spans="1:2">
      <c r="A11" s="2" t="s">
        <v>27</v>
      </c>
      <c r="B11">
        <v>8634</v>
      </c>
    </row>
    <row r="12" spans="1:2">
      <c r="A12" s="2" t="s">
        <v>28</v>
      </c>
      <c r="B12">
        <v>8370</v>
      </c>
    </row>
    <row r="13" spans="1:2">
      <c r="A13" s="2" t="s">
        <v>29</v>
      </c>
      <c r="B13">
        <v>8227</v>
      </c>
    </row>
    <row r="14" spans="1:2">
      <c r="A14" s="2" t="s">
        <v>30</v>
      </c>
      <c r="B14">
        <v>8008</v>
      </c>
    </row>
    <row r="15" spans="1:2">
      <c r="A15" s="2" t="s">
        <v>31</v>
      </c>
      <c r="B15">
        <v>6970</v>
      </c>
    </row>
    <row r="16" spans="1:2">
      <c r="A16" s="2" t="s">
        <v>32</v>
      </c>
      <c r="B16">
        <v>6712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2AC6-06CC-4EE9-BA28-8370586AD1C0}">
  <dimension ref="A1:B7"/>
  <sheetViews>
    <sheetView workbookViewId="0">
      <selection sqref="A1:B7"/>
    </sheetView>
  </sheetViews>
  <sheetFormatPr defaultRowHeight="14.4"/>
  <cols>
    <col min="1" max="1" width="9.88671875" bestFit="1" customWidth="1"/>
    <col min="2" max="2" width="15.109375" bestFit="1" customWidth="1"/>
  </cols>
  <sheetData>
    <row r="1" spans="1:2">
      <c r="A1" t="s">
        <v>10</v>
      </c>
      <c r="B1" t="s">
        <v>1</v>
      </c>
    </row>
    <row r="2" spans="1:2">
      <c r="A2" s="2" t="s">
        <v>11</v>
      </c>
      <c r="B2">
        <v>392653</v>
      </c>
    </row>
    <row r="3" spans="1:2">
      <c r="A3" s="2" t="s">
        <v>12</v>
      </c>
      <c r="B3">
        <v>51669</v>
      </c>
    </row>
    <row r="4" spans="1:2">
      <c r="A4" s="2" t="s">
        <v>13</v>
      </c>
      <c r="B4">
        <v>22047</v>
      </c>
    </row>
    <row r="5" spans="1:2">
      <c r="A5" s="2" t="s">
        <v>14</v>
      </c>
      <c r="B5">
        <v>16816</v>
      </c>
    </row>
    <row r="6" spans="1:2">
      <c r="A6" s="2" t="s">
        <v>15</v>
      </c>
      <c r="B6">
        <v>10167</v>
      </c>
    </row>
    <row r="7" spans="1:2">
      <c r="A7" s="2" t="s">
        <v>16</v>
      </c>
      <c r="B7">
        <v>6917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E390-6C89-4022-87A7-203E5CF5ACC5}">
  <dimension ref="A1:B13"/>
  <sheetViews>
    <sheetView workbookViewId="0">
      <selection sqref="A1:B13"/>
    </sheetView>
  </sheetViews>
  <sheetFormatPr defaultRowHeight="14.4"/>
  <cols>
    <col min="1" max="1" width="15.77734375" bestFit="1" customWidth="1"/>
    <col min="2" max="2" width="15.109375" bestFit="1" customWidth="1"/>
  </cols>
  <sheetData>
    <row r="1" spans="1:2">
      <c r="A1" t="s">
        <v>0</v>
      </c>
      <c r="B1" t="s">
        <v>1</v>
      </c>
    </row>
    <row r="2" spans="1:2">
      <c r="A2" s="1">
        <v>45658</v>
      </c>
      <c r="B2">
        <v>32793</v>
      </c>
    </row>
    <row r="3" spans="1:2">
      <c r="A3" s="1">
        <v>45689</v>
      </c>
      <c r="B3">
        <v>53707</v>
      </c>
    </row>
    <row r="4" spans="1:2">
      <c r="A4" s="1">
        <v>45717</v>
      </c>
      <c r="B4">
        <v>37317</v>
      </c>
    </row>
    <row r="5" spans="1:2">
      <c r="A5" s="1">
        <v>45748</v>
      </c>
      <c r="B5">
        <v>38111</v>
      </c>
    </row>
    <row r="6" spans="1:2">
      <c r="A6" s="1">
        <v>45778</v>
      </c>
      <c r="B6">
        <v>44571</v>
      </c>
    </row>
    <row r="7" spans="1:2">
      <c r="A7" s="1">
        <v>45809</v>
      </c>
      <c r="B7">
        <v>46971</v>
      </c>
    </row>
    <row r="8" spans="1:2">
      <c r="A8" s="1">
        <v>45839</v>
      </c>
      <c r="B8">
        <v>48120</v>
      </c>
    </row>
    <row r="9" spans="1:2">
      <c r="A9" s="1">
        <v>45870</v>
      </c>
      <c r="B9">
        <v>43555</v>
      </c>
    </row>
    <row r="10" spans="1:2">
      <c r="A10" s="1">
        <v>45901</v>
      </c>
      <c r="B10">
        <v>44851</v>
      </c>
    </row>
    <row r="11" spans="1:2">
      <c r="A11" s="1">
        <v>45931</v>
      </c>
      <c r="B11">
        <v>37840</v>
      </c>
    </row>
    <row r="12" spans="1:2">
      <c r="A12" s="1">
        <v>45962</v>
      </c>
      <c r="B12">
        <v>33525</v>
      </c>
    </row>
    <row r="13" spans="1:2">
      <c r="A13" s="1">
        <v>45992</v>
      </c>
      <c r="B13">
        <v>38908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9645-2F02-4D0B-AC32-BDDC39DE8A6F}">
  <dimension ref="A1:B8"/>
  <sheetViews>
    <sheetView workbookViewId="0">
      <selection sqref="A1:B8"/>
    </sheetView>
  </sheetViews>
  <sheetFormatPr defaultRowHeight="14.4"/>
  <cols>
    <col min="1" max="1" width="28.6640625" bestFit="1" customWidth="1"/>
    <col min="2" max="2" width="15.109375" bestFit="1" customWidth="1"/>
  </cols>
  <sheetData>
    <row r="1" spans="1:2">
      <c r="A1" t="s">
        <v>2</v>
      </c>
      <c r="B1" t="s">
        <v>1</v>
      </c>
    </row>
    <row r="2" spans="1:2">
      <c r="A2" s="2" t="s">
        <v>3</v>
      </c>
      <c r="B2">
        <v>170443</v>
      </c>
    </row>
    <row r="3" spans="1:2">
      <c r="A3" s="2" t="s">
        <v>4</v>
      </c>
      <c r="B3">
        <v>130056</v>
      </c>
    </row>
    <row r="4" spans="1:2">
      <c r="A4" s="2" t="s">
        <v>5</v>
      </c>
      <c r="B4">
        <v>117630</v>
      </c>
    </row>
    <row r="5" spans="1:2">
      <c r="A5" s="2" t="s">
        <v>6</v>
      </c>
      <c r="B5">
        <v>36839</v>
      </c>
    </row>
    <row r="6" spans="1:2">
      <c r="A6" s="2" t="s">
        <v>7</v>
      </c>
      <c r="B6">
        <v>36174</v>
      </c>
    </row>
    <row r="7" spans="1:2">
      <c r="A7" s="2" t="s">
        <v>8</v>
      </c>
      <c r="B7">
        <v>7690</v>
      </c>
    </row>
    <row r="8" spans="1:2">
      <c r="A8" s="2" t="s">
        <v>9</v>
      </c>
      <c r="B8">
        <v>1437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E118-AA5A-4101-905D-28148FD062E0}">
  <dimension ref="A1:A65"/>
  <sheetViews>
    <sheetView tabSelected="1" topLeftCell="A49" workbookViewId="0">
      <selection activeCell="A62" sqref="A62"/>
    </sheetView>
  </sheetViews>
  <sheetFormatPr defaultRowHeight="14.4"/>
  <cols>
    <col min="1" max="1" width="113.88671875" customWidth="1"/>
  </cols>
  <sheetData>
    <row r="1" spans="1:1" ht="22.8">
      <c r="A1" s="3" t="s">
        <v>39</v>
      </c>
    </row>
    <row r="3" spans="1:1">
      <c r="A3" s="6" t="s">
        <v>40</v>
      </c>
    </row>
    <row r="4" spans="1:1" ht="25.8">
      <c r="A4" s="4">
        <f>SUM('Monthly Data'!B2:B13)</f>
        <v>500269</v>
      </c>
    </row>
    <row r="56" spans="1:1" ht="18">
      <c r="A56" s="7" t="s">
        <v>41</v>
      </c>
    </row>
    <row r="57" spans="1:1">
      <c r="A57" s="5"/>
    </row>
    <row r="58" spans="1:1">
      <c r="A58" s="5" t="s">
        <v>42</v>
      </c>
    </row>
    <row r="59" spans="1:1">
      <c r="A59" s="5" t="s">
        <v>43</v>
      </c>
    </row>
    <row r="60" spans="1:1">
      <c r="A60" s="5" t="s">
        <v>44</v>
      </c>
    </row>
    <row r="61" spans="1:1">
      <c r="A61" s="5" t="s">
        <v>45</v>
      </c>
    </row>
    <row r="62" spans="1:1">
      <c r="A62" s="5"/>
    </row>
    <row r="63" spans="1:1">
      <c r="A63" s="5" t="s">
        <v>46</v>
      </c>
    </row>
    <row r="64" spans="1:1">
      <c r="A64" s="5" t="s">
        <v>47</v>
      </c>
    </row>
    <row r="65" spans="1:1">
      <c r="A65" s="5" t="s">
        <v>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B0429-4CFD-4A78-A799-722EC9E9E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February Data</vt:lpstr>
      <vt:lpstr>Top Types Data</vt:lpstr>
      <vt:lpstr>Status Data</vt:lpstr>
      <vt:lpstr>Monthly Data</vt:lpstr>
      <vt:lpstr>Division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Poudel</dc:creator>
  <cp:lastModifiedBy>Christina Poudel</cp:lastModifiedBy>
  <dcterms:created xsi:type="dcterms:W3CDTF">2026-10-13T01:53:38Z</dcterms:created>
  <dcterms:modified xsi:type="dcterms:W3CDTF">2026-10-13T02:46:42Z</dcterms:modified>
</cp:coreProperties>
</file>